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F910EB-900C-47E7-A26A-6285DECF3E5D}" xr6:coauthVersionLast="47" xr6:coauthVersionMax="47" xr10:uidLastSave="{00000000-0000-0000-0000-000000000000}"/>
  <bookViews>
    <workbookView xWindow="-120" yWindow="-120" windowWidth="20730" windowHeight="11160" activeTab="1" xr2:uid="{3EFC475D-7CA2-4742-A5F9-831CCDDABE4C}"/>
  </bookViews>
  <sheets>
    <sheet name="GOAL SEEK" sheetId="3" r:id="rId1"/>
    <sheet name="DATA TABLE" sheetId="2" r:id="rId2"/>
    <sheet name="SOLVER" sheetId="4" r:id="rId3"/>
    <sheet name="SENERIO MANAGER" sheetId="5" r:id="rId4"/>
  </sheets>
  <definedNames>
    <definedName name="solver_adj" localSheetId="2" hidden="1">SOLVER!$C$5:$C$6</definedName>
    <definedName name="solver_eng" localSheetId="2" hidden="1">2</definedName>
    <definedName name="solver_neg" localSheetId="2" hidden="1">1</definedName>
    <definedName name="solver_num" localSheetId="2" hidden="1">0</definedName>
    <definedName name="solver_opt" localSheetId="2" hidden="1">SOLVER!$F$14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17" i="2"/>
  <c r="C16" i="2"/>
  <c r="C19" i="3"/>
  <c r="C17" i="3"/>
  <c r="C16" i="3"/>
  <c r="C18" i="2" l="1"/>
  <c r="C20" i="2" s="1"/>
  <c r="C21" i="2" s="1"/>
  <c r="C22" i="2" s="1"/>
  <c r="C18" i="3"/>
  <c r="C20" i="3" s="1"/>
  <c r="C21" i="3" s="1"/>
  <c r="C22" i="3" s="1"/>
  <c r="I5" i="2" l="1"/>
  <c r="M4" i="2"/>
</calcChain>
</file>

<file path=xl/sharedStrings.xml><?xml version="1.0" encoding="utf-8"?>
<sst xmlns="http://schemas.openxmlformats.org/spreadsheetml/2006/main" count="74" uniqueCount="34">
  <si>
    <t>WHAT IF ANALYSIS</t>
  </si>
  <si>
    <t>ONE WAY DATA TABLE</t>
  </si>
  <si>
    <t>TWO WAY DATA TABLE</t>
  </si>
  <si>
    <t>Revenue</t>
  </si>
  <si>
    <t>COGS</t>
  </si>
  <si>
    <t>Gross Profit</t>
  </si>
  <si>
    <t>Earnings Before Tax</t>
  </si>
  <si>
    <t>Taxes</t>
  </si>
  <si>
    <t>ASSUMPTIONS</t>
  </si>
  <si>
    <t>Product</t>
  </si>
  <si>
    <t>Unit Sold</t>
  </si>
  <si>
    <t>Cost Per Unit</t>
  </si>
  <si>
    <t>Price Per Unit</t>
  </si>
  <si>
    <t>Other Costs</t>
  </si>
  <si>
    <t>Tax Rate</t>
  </si>
  <si>
    <t>Other Cost</t>
  </si>
  <si>
    <t>Revenues</t>
  </si>
  <si>
    <t>Costs</t>
  </si>
  <si>
    <t>Revenue Scenarios</t>
  </si>
  <si>
    <t>1. Best Case</t>
  </si>
  <si>
    <t>2. Base Case</t>
  </si>
  <si>
    <t>3. Worst Case</t>
  </si>
  <si>
    <t>Cost Scenarios</t>
  </si>
  <si>
    <t>GOAL SEEK</t>
  </si>
  <si>
    <t>SOLVER</t>
  </si>
  <si>
    <t>CONSTRAINT</t>
  </si>
  <si>
    <t>Actual Figures</t>
  </si>
  <si>
    <t>PROFIT AND LOSS ACCOUNT</t>
  </si>
  <si>
    <t>Net Profit (Loss)</t>
  </si>
  <si>
    <t>JBA Sugar</t>
  </si>
  <si>
    <t>SCENERIO ANALYSIS</t>
  </si>
  <si>
    <t>PROFIT</t>
  </si>
  <si>
    <t>UNIT SOLD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</si>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</sst>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E"/>
    <numFmt numFmtId="165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432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0432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EA9C1"/>
        <bgColor indexed="64"/>
      </patternFill>
    </fill>
    <fill>
      <patternFill patternType="solid">
        <fgColor rgb="FFCD2E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0" borderId="1" xfId="0" applyFont="1" applyBorder="1"/>
    <xf numFmtId="165" fontId="3" fillId="0" borderId="1" xfId="1" applyNumberFormat="1" applyFont="1" applyBorder="1"/>
    <xf numFmtId="0" fontId="7" fillId="5" borderId="1" xfId="0" applyFont="1" applyFill="1" applyBorder="1"/>
    <xf numFmtId="165" fontId="7" fillId="5" borderId="1" xfId="1" applyNumberFormat="1" applyFont="1" applyFill="1" applyBorder="1"/>
    <xf numFmtId="0" fontId="7" fillId="7" borderId="1" xfId="0" applyFont="1" applyFill="1" applyBorder="1"/>
    <xf numFmtId="164" fontId="3" fillId="7" borderId="1" xfId="0" applyNumberFormat="1" applyFont="1" applyFill="1" applyBorder="1"/>
    <xf numFmtId="0" fontId="3" fillId="7" borderId="1" xfId="0" applyFont="1" applyFill="1" applyBorder="1" applyAlignment="1">
      <alignment horizontal="left" indent="1"/>
    </xf>
    <xf numFmtId="165" fontId="8" fillId="7" borderId="1" xfId="1" applyNumberFormat="1" applyFont="1" applyFill="1" applyBorder="1"/>
    <xf numFmtId="0" fontId="3" fillId="7" borderId="1" xfId="0" applyFont="1" applyFill="1" applyBorder="1"/>
    <xf numFmtId="0" fontId="8" fillId="7" borderId="1" xfId="0" applyFont="1" applyFill="1" applyBorder="1"/>
    <xf numFmtId="0" fontId="4" fillId="2" borderId="2" xfId="0" applyFont="1" applyFill="1" applyBorder="1"/>
    <xf numFmtId="14" fontId="4" fillId="2" borderId="2" xfId="0" applyNumberFormat="1" applyFont="1" applyFill="1" applyBorder="1"/>
    <xf numFmtId="0" fontId="8" fillId="0" borderId="1" xfId="0" applyFont="1" applyBorder="1" applyAlignment="1">
      <alignment horizontal="right"/>
    </xf>
    <xf numFmtId="9" fontId="8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4" fillId="6" borderId="1" xfId="0" applyFont="1" applyFill="1" applyBorder="1"/>
    <xf numFmtId="0" fontId="9" fillId="0" borderId="0" xfId="0" applyFont="1" applyAlignment="1">
      <alignment textRotation="90"/>
    </xf>
    <xf numFmtId="165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165" fontId="4" fillId="6" borderId="1" xfId="0" applyNumberFormat="1" applyFont="1" applyFill="1" applyBorder="1"/>
    <xf numFmtId="165" fontId="0" fillId="0" borderId="0" xfId="0" applyNumberFormat="1"/>
    <xf numFmtId="0" fontId="10" fillId="0" borderId="0" xfId="0" applyFont="1" applyAlignment="1">
      <alignment horizontal="center" textRotation="255"/>
    </xf>
    <xf numFmtId="0" fontId="0" fillId="0" borderId="0" xfId="0" applyAlignment="1">
      <alignment textRotation="90"/>
    </xf>
    <xf numFmtId="0" fontId="2" fillId="3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textRotation="90"/>
    </xf>
    <xf numFmtId="0" fontId="7" fillId="0" borderId="5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 textRotation="255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520D-4B82-0C48-9BBF-05D1443442B5}">
  <dimension ref="B1:C22"/>
  <sheetViews>
    <sheetView topLeftCell="A3" workbookViewId="0">
      <selection activeCell="C16" sqref="C16:C22"/>
    </sheetView>
  </sheetViews>
  <sheetFormatPr defaultColWidth="11" defaultRowHeight="15.75" x14ac:dyDescent="0.25"/>
  <cols>
    <col min="2" max="2" width="23.875" bestFit="1" customWidth="1"/>
    <col min="3" max="3" width="17.125" bestFit="1" customWidth="1"/>
    <col min="4" max="5" width="15.125" customWidth="1"/>
  </cols>
  <sheetData>
    <row r="1" spans="2:3" ht="18.75" x14ac:dyDescent="0.3">
      <c r="B1" s="27" t="s">
        <v>23</v>
      </c>
      <c r="C1" s="27"/>
    </row>
    <row r="2" spans="2:3" ht="18.75" x14ac:dyDescent="0.3">
      <c r="B2" s="1"/>
      <c r="C2" s="1"/>
    </row>
    <row r="3" spans="2:3" ht="18.75" x14ac:dyDescent="0.3">
      <c r="B3" s="28" t="s">
        <v>8</v>
      </c>
      <c r="C3" s="29"/>
    </row>
    <row r="4" spans="2:3" ht="18.75" x14ac:dyDescent="0.3">
      <c r="B4" s="3" t="s">
        <v>9</v>
      </c>
      <c r="C4" s="16" t="s">
        <v>29</v>
      </c>
    </row>
    <row r="5" spans="2:3" ht="18.75" x14ac:dyDescent="0.3">
      <c r="B5" s="3" t="s">
        <v>10</v>
      </c>
      <c r="C5" s="16">
        <v>20000</v>
      </c>
    </row>
    <row r="6" spans="2:3" ht="18.75" x14ac:dyDescent="0.3">
      <c r="B6" s="3" t="s">
        <v>11</v>
      </c>
      <c r="C6" s="16">
        <v>100</v>
      </c>
    </row>
    <row r="7" spans="2:3" ht="18.75" x14ac:dyDescent="0.3">
      <c r="B7" s="3" t="s">
        <v>12</v>
      </c>
      <c r="C7" s="16">
        <v>200</v>
      </c>
    </row>
    <row r="8" spans="2:3" ht="18.75" x14ac:dyDescent="0.3">
      <c r="B8" s="3" t="s">
        <v>13</v>
      </c>
      <c r="C8" s="16">
        <v>100000</v>
      </c>
    </row>
    <row r="9" spans="2:3" ht="18.75" x14ac:dyDescent="0.3">
      <c r="B9" s="3" t="s">
        <v>14</v>
      </c>
      <c r="C9" s="17">
        <v>0.08</v>
      </c>
    </row>
    <row r="10" spans="2:3" ht="18.75" x14ac:dyDescent="0.3">
      <c r="B10" s="1"/>
      <c r="C10" s="1"/>
    </row>
    <row r="11" spans="2:3" ht="18.75" x14ac:dyDescent="0.3">
      <c r="B11" s="1"/>
      <c r="C11" s="1"/>
    </row>
    <row r="12" spans="2:3" ht="18.75" x14ac:dyDescent="0.3">
      <c r="B12" s="1"/>
      <c r="C12" s="1"/>
    </row>
    <row r="13" spans="2:3" ht="18.75" x14ac:dyDescent="0.3">
      <c r="B13" s="1"/>
      <c r="C13" s="1"/>
    </row>
    <row r="14" spans="2:3" ht="18.75" x14ac:dyDescent="0.3">
      <c r="B14" s="1"/>
      <c r="C14" s="1"/>
    </row>
    <row r="15" spans="2:3" ht="18.75" x14ac:dyDescent="0.3">
      <c r="B15" s="28" t="s">
        <v>27</v>
      </c>
      <c r="C15" s="29"/>
    </row>
    <row r="16" spans="2:3" ht="18.75" x14ac:dyDescent="0.3">
      <c r="B16" s="4" t="s">
        <v>3</v>
      </c>
      <c r="C16" s="21">
        <f>C7*C5</f>
        <v>4000000</v>
      </c>
    </row>
    <row r="17" spans="2:3" ht="18.75" x14ac:dyDescent="0.3">
      <c r="B17" s="4" t="s">
        <v>4</v>
      </c>
      <c r="C17" s="21">
        <f>C6*-C5</f>
        <v>-2000000</v>
      </c>
    </row>
    <row r="18" spans="2:3" ht="18.75" x14ac:dyDescent="0.3">
      <c r="B18" s="18" t="s">
        <v>5</v>
      </c>
      <c r="C18" s="21">
        <f>SUM(C16:C17)</f>
        <v>2000000</v>
      </c>
    </row>
    <row r="19" spans="2:3" ht="18.75" x14ac:dyDescent="0.3">
      <c r="B19" s="4" t="s">
        <v>15</v>
      </c>
      <c r="C19" s="22">
        <f>-C8</f>
        <v>-100000</v>
      </c>
    </row>
    <row r="20" spans="2:3" ht="18.75" x14ac:dyDescent="0.3">
      <c r="B20" s="18" t="s">
        <v>6</v>
      </c>
      <c r="C20" s="22">
        <f>SUM(C18:C19)</f>
        <v>1900000</v>
      </c>
    </row>
    <row r="21" spans="2:3" ht="18.75" x14ac:dyDescent="0.3">
      <c r="B21" s="4" t="s">
        <v>7</v>
      </c>
      <c r="C21" s="22">
        <f>C9*-C20</f>
        <v>-152000</v>
      </c>
    </row>
    <row r="22" spans="2:3" ht="18.75" x14ac:dyDescent="0.3">
      <c r="B22" s="19" t="s">
        <v>28</v>
      </c>
      <c r="C22" s="23">
        <f>SUM(C20:C21)</f>
        <v>1748000</v>
      </c>
    </row>
  </sheetData>
  <mergeCells count="3">
    <mergeCell ref="B1:C1"/>
    <mergeCell ref="B15:C15"/>
    <mergeCell ref="B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AEB2-F09E-CC40-A92B-2C623C854591}">
  <dimension ref="B1:R22"/>
  <sheetViews>
    <sheetView tabSelected="1" topLeftCell="B1" zoomScale="73" zoomScaleNormal="73" workbookViewId="0">
      <selection activeCell="L4" sqref="L4:L12"/>
    </sheetView>
  </sheetViews>
  <sheetFormatPr defaultColWidth="11" defaultRowHeight="15.75" x14ac:dyDescent="0.25"/>
  <cols>
    <col min="2" max="2" width="23.875" bestFit="1" customWidth="1"/>
    <col min="3" max="3" width="18.75" bestFit="1" customWidth="1"/>
    <col min="4" max="5" width="15.125" customWidth="1"/>
    <col min="7" max="7" width="11" customWidth="1"/>
  </cols>
  <sheetData>
    <row r="1" spans="2:18" ht="18.75" x14ac:dyDescent="0.3">
      <c r="B1" s="27" t="s">
        <v>0</v>
      </c>
      <c r="C1" s="27"/>
    </row>
    <row r="2" spans="2:18" ht="18.75" x14ac:dyDescent="0.3">
      <c r="B2" s="1"/>
      <c r="C2" s="1"/>
      <c r="G2" s="30" t="s">
        <v>1</v>
      </c>
      <c r="H2" s="30"/>
      <c r="I2" s="30"/>
      <c r="L2" s="30" t="s">
        <v>2</v>
      </c>
      <c r="M2" s="30"/>
      <c r="N2" s="30"/>
      <c r="O2" s="30"/>
      <c r="P2" s="30"/>
      <c r="Q2" s="30"/>
      <c r="R2" s="30"/>
    </row>
    <row r="3" spans="2:18" ht="18.75" x14ac:dyDescent="0.3">
      <c r="B3" s="28" t="s">
        <v>8</v>
      </c>
      <c r="C3" s="29"/>
      <c r="M3" s="32" t="s">
        <v>33</v>
      </c>
      <c r="N3" s="32"/>
      <c r="O3" s="32"/>
      <c r="P3" s="32"/>
      <c r="Q3" s="32"/>
      <c r="R3" s="32"/>
    </row>
    <row r="4" spans="2:18" ht="18.75" customHeight="1" x14ac:dyDescent="0.3">
      <c r="B4" s="3" t="s">
        <v>9</v>
      </c>
      <c r="C4" s="16" t="s">
        <v>29</v>
      </c>
      <c r="G4" s="20"/>
      <c r="I4" t="s">
        <v>31</v>
      </c>
      <c r="L4" s="34" t="s">
        <v>10</v>
      </c>
      <c r="M4" s="24">
        <f>C22</f>
        <v>1748000</v>
      </c>
      <c r="N4">
        <v>50</v>
      </c>
      <c r="O4">
        <v>100</v>
      </c>
      <c r="P4">
        <v>200</v>
      </c>
      <c r="Q4">
        <v>300</v>
      </c>
      <c r="R4">
        <v>400</v>
      </c>
    </row>
    <row r="5" spans="2:18" ht="18.75" customHeight="1" x14ac:dyDescent="0.3">
      <c r="B5" s="3" t="s">
        <v>10</v>
      </c>
      <c r="C5" s="16">
        <v>20000</v>
      </c>
      <c r="H5" s="24"/>
      <c r="I5" s="24">
        <f>C22</f>
        <v>1748000</v>
      </c>
      <c r="L5" s="34"/>
      <c r="M5">
        <v>50000</v>
      </c>
      <c r="N5">
        <f t="dataTable" ref="N5:R10" dt2D="1" dtr="1" r1="C7" r2="C5"/>
        <v>-2392000</v>
      </c>
      <c r="O5">
        <v>-92000</v>
      </c>
      <c r="P5">
        <v>4508000</v>
      </c>
      <c r="Q5">
        <v>9108000</v>
      </c>
      <c r="R5">
        <v>13708000</v>
      </c>
    </row>
    <row r="6" spans="2:18" ht="18.75" x14ac:dyDescent="0.3">
      <c r="B6" s="3" t="s">
        <v>11</v>
      </c>
      <c r="C6" s="16">
        <v>100</v>
      </c>
      <c r="G6" s="25"/>
      <c r="H6">
        <v>50000</v>
      </c>
      <c r="I6">
        <f t="dataTable" ref="I6:I11" dt2D="0" dtr="0" r1="C5" ca="1"/>
        <v>4508000</v>
      </c>
      <c r="L6" s="34"/>
      <c r="M6">
        <v>40000</v>
      </c>
      <c r="N6">
        <v>-1932000</v>
      </c>
      <c r="O6">
        <v>-92000</v>
      </c>
      <c r="P6">
        <v>3588000</v>
      </c>
      <c r="Q6">
        <v>7268000</v>
      </c>
      <c r="R6">
        <v>10948000</v>
      </c>
    </row>
    <row r="7" spans="2:18" ht="18.75" x14ac:dyDescent="0.3">
      <c r="B7" s="3" t="s">
        <v>12</v>
      </c>
      <c r="C7" s="16">
        <v>200</v>
      </c>
      <c r="G7" s="31" t="s">
        <v>32</v>
      </c>
      <c r="H7">
        <v>40000</v>
      </c>
      <c r="I7">
        <v>3588000</v>
      </c>
      <c r="L7" s="34"/>
      <c r="M7">
        <v>30000</v>
      </c>
      <c r="N7">
        <v>-1472000</v>
      </c>
      <c r="O7">
        <v>-92000</v>
      </c>
      <c r="P7">
        <v>2668000</v>
      </c>
      <c r="Q7">
        <v>5428000</v>
      </c>
      <c r="R7">
        <v>8188000</v>
      </c>
    </row>
    <row r="8" spans="2:18" ht="18.75" x14ac:dyDescent="0.3">
      <c r="B8" s="3" t="s">
        <v>13</v>
      </c>
      <c r="C8" s="16">
        <v>100000</v>
      </c>
      <c r="G8" s="31"/>
      <c r="H8">
        <v>30000</v>
      </c>
      <c r="I8">
        <v>2668000</v>
      </c>
      <c r="L8" s="34"/>
      <c r="M8" s="16">
        <v>20000</v>
      </c>
      <c r="N8">
        <v>-1012000</v>
      </c>
      <c r="O8">
        <v>-92000</v>
      </c>
      <c r="P8">
        <v>1748000</v>
      </c>
      <c r="Q8">
        <v>3588000</v>
      </c>
      <c r="R8">
        <v>5428000</v>
      </c>
    </row>
    <row r="9" spans="2:18" ht="18.75" x14ac:dyDescent="0.3">
      <c r="B9" s="3" t="s">
        <v>14</v>
      </c>
      <c r="C9" s="17">
        <v>0.08</v>
      </c>
      <c r="G9" s="31"/>
      <c r="H9" s="16">
        <v>20000</v>
      </c>
      <c r="I9">
        <v>1748000</v>
      </c>
      <c r="L9" s="34"/>
      <c r="M9">
        <v>10000</v>
      </c>
      <c r="N9">
        <v>-552000</v>
      </c>
      <c r="O9">
        <v>-92000</v>
      </c>
      <c r="P9">
        <v>828000</v>
      </c>
      <c r="Q9">
        <v>1748000</v>
      </c>
      <c r="R9">
        <v>2668000</v>
      </c>
    </row>
    <row r="10" spans="2:18" ht="18.75" x14ac:dyDescent="0.3">
      <c r="B10" s="1"/>
      <c r="C10" s="1"/>
      <c r="G10" s="31"/>
      <c r="H10">
        <v>10000</v>
      </c>
      <c r="I10">
        <v>828000</v>
      </c>
      <c r="L10" s="34"/>
      <c r="M10">
        <v>5000</v>
      </c>
      <c r="N10">
        <v>-322000</v>
      </c>
      <c r="O10">
        <v>-92000</v>
      </c>
      <c r="P10">
        <v>368000</v>
      </c>
      <c r="Q10">
        <v>828000</v>
      </c>
      <c r="R10">
        <v>1288000</v>
      </c>
    </row>
    <row r="11" spans="2:18" ht="18.75" x14ac:dyDescent="0.3">
      <c r="B11" s="1"/>
      <c r="C11" s="1"/>
      <c r="G11" s="31"/>
      <c r="H11">
        <v>5000</v>
      </c>
      <c r="I11">
        <v>368000</v>
      </c>
      <c r="L11" s="34"/>
    </row>
    <row r="12" spans="2:18" ht="18.75" x14ac:dyDescent="0.3">
      <c r="B12" s="1"/>
      <c r="C12" s="1"/>
      <c r="G12" s="26"/>
      <c r="L12" s="34"/>
    </row>
    <row r="13" spans="2:18" ht="18.75" x14ac:dyDescent="0.3">
      <c r="B13" s="1"/>
      <c r="C13" s="1"/>
    </row>
    <row r="14" spans="2:18" ht="18.75" x14ac:dyDescent="0.3">
      <c r="B14" s="1"/>
      <c r="C14" s="1"/>
    </row>
    <row r="15" spans="2:18" ht="18.75" x14ac:dyDescent="0.3">
      <c r="B15" s="28" t="s">
        <v>27</v>
      </c>
      <c r="C15" s="29"/>
    </row>
    <row r="16" spans="2:18" ht="18.75" x14ac:dyDescent="0.3">
      <c r="B16" s="4" t="s">
        <v>3</v>
      </c>
      <c r="C16" s="21">
        <f>C7*C5</f>
        <v>4000000</v>
      </c>
    </row>
    <row r="17" spans="2:3" ht="18.75" x14ac:dyDescent="0.3">
      <c r="B17" s="4" t="s">
        <v>4</v>
      </c>
      <c r="C17" s="21">
        <f>C6*-C5</f>
        <v>-2000000</v>
      </c>
    </row>
    <row r="18" spans="2:3" ht="18.75" x14ac:dyDescent="0.3">
      <c r="B18" s="18" t="s">
        <v>5</v>
      </c>
      <c r="C18" s="21">
        <f>SUM(C16:C17)</f>
        <v>2000000</v>
      </c>
    </row>
    <row r="19" spans="2:3" ht="18.75" x14ac:dyDescent="0.3">
      <c r="B19" s="4" t="s">
        <v>15</v>
      </c>
      <c r="C19" s="22">
        <f>-C8</f>
        <v>-100000</v>
      </c>
    </row>
    <row r="20" spans="2:3" ht="18.75" x14ac:dyDescent="0.3">
      <c r="B20" s="18" t="s">
        <v>6</v>
      </c>
      <c r="C20" s="22">
        <f>SUM(C18:C19)</f>
        <v>1900000</v>
      </c>
    </row>
    <row r="21" spans="2:3" ht="18.75" x14ac:dyDescent="0.3">
      <c r="B21" s="4" t="s">
        <v>7</v>
      </c>
      <c r="C21" s="22">
        <f>C9*-C20</f>
        <v>-152000</v>
      </c>
    </row>
    <row r="22" spans="2:3" ht="18.75" x14ac:dyDescent="0.3">
      <c r="B22" s="19" t="s">
        <v>28</v>
      </c>
      <c r="C22" s="23">
        <f>SUM(C20:C21)</f>
        <v>1748000</v>
      </c>
    </row>
  </sheetData>
  <sortState xmlns:xlrd2="http://schemas.microsoft.com/office/spreadsheetml/2017/richdata2" ref="L6:L12">
    <sortCondition descending="1" ref="L6:L12"/>
  </sortState>
  <mergeCells count="8">
    <mergeCell ref="B1:C1"/>
    <mergeCell ref="B15:C15"/>
    <mergeCell ref="G2:I2"/>
    <mergeCell ref="L2:R2"/>
    <mergeCell ref="B3:C3"/>
    <mergeCell ref="G7:G11"/>
    <mergeCell ref="M3:R3"/>
    <mergeCell ref="L4:L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1B29-5145-1F47-B744-6ED9EF210CEA}">
  <dimension ref="B1:G22"/>
  <sheetViews>
    <sheetView workbookViewId="0">
      <selection activeCell="F9" sqref="F9"/>
    </sheetView>
  </sheetViews>
  <sheetFormatPr defaultColWidth="11" defaultRowHeight="15.75" x14ac:dyDescent="0.25"/>
  <cols>
    <col min="2" max="2" width="24.125" customWidth="1"/>
    <col min="3" max="3" width="20.5" customWidth="1"/>
    <col min="6" max="6" width="14" customWidth="1"/>
    <col min="7" max="7" width="16.125" customWidth="1"/>
  </cols>
  <sheetData>
    <row r="1" spans="2:7" ht="18.75" x14ac:dyDescent="0.3">
      <c r="B1" s="27" t="s">
        <v>24</v>
      </c>
      <c r="C1" s="27"/>
    </row>
    <row r="2" spans="2:7" ht="18.75" x14ac:dyDescent="0.3">
      <c r="B2" s="1"/>
      <c r="C2" s="1"/>
      <c r="F2" s="27" t="s">
        <v>25</v>
      </c>
      <c r="G2" s="27"/>
    </row>
    <row r="3" spans="2:7" ht="18.75" x14ac:dyDescent="0.3">
      <c r="B3" s="28" t="s">
        <v>8</v>
      </c>
      <c r="C3" s="29"/>
      <c r="F3" s="4" t="s">
        <v>10</v>
      </c>
      <c r="G3" s="4"/>
    </row>
    <row r="4" spans="2:7" ht="18.75" x14ac:dyDescent="0.3">
      <c r="B4" s="3" t="s">
        <v>9</v>
      </c>
      <c r="C4" s="16" t="s">
        <v>29</v>
      </c>
      <c r="F4" s="4" t="s">
        <v>11</v>
      </c>
      <c r="G4" s="4"/>
    </row>
    <row r="5" spans="2:7" ht="18.75" x14ac:dyDescent="0.3">
      <c r="B5" s="3" t="s">
        <v>10</v>
      </c>
      <c r="C5" s="16">
        <v>20000</v>
      </c>
      <c r="F5" s="4" t="s">
        <v>12</v>
      </c>
      <c r="G5" s="4"/>
    </row>
    <row r="6" spans="2:7" ht="18.75" x14ac:dyDescent="0.3">
      <c r="B6" s="3" t="s">
        <v>11</v>
      </c>
      <c r="C6" s="16">
        <v>100</v>
      </c>
    </row>
    <row r="7" spans="2:7" ht="18.75" x14ac:dyDescent="0.3">
      <c r="B7" s="3" t="s">
        <v>12</v>
      </c>
      <c r="C7" s="16">
        <v>200</v>
      </c>
    </row>
    <row r="8" spans="2:7" ht="18.75" x14ac:dyDescent="0.3">
      <c r="B8" s="3" t="s">
        <v>13</v>
      </c>
      <c r="C8" s="16">
        <v>100000</v>
      </c>
    </row>
    <row r="9" spans="2:7" ht="18.75" x14ac:dyDescent="0.3">
      <c r="B9" s="3" t="s">
        <v>14</v>
      </c>
      <c r="C9" s="17">
        <v>0.08</v>
      </c>
    </row>
    <row r="10" spans="2:7" ht="18.75" x14ac:dyDescent="0.3">
      <c r="B10" s="1"/>
      <c r="C10" s="1"/>
    </row>
    <row r="11" spans="2:7" ht="18.75" x14ac:dyDescent="0.3">
      <c r="B11" s="1"/>
      <c r="C11" s="1"/>
    </row>
    <row r="12" spans="2:7" ht="18.75" x14ac:dyDescent="0.3">
      <c r="B12" s="1"/>
      <c r="C12" s="1"/>
    </row>
    <row r="13" spans="2:7" ht="18.75" x14ac:dyDescent="0.3">
      <c r="B13" s="1"/>
      <c r="C13" s="1"/>
    </row>
    <row r="14" spans="2:7" ht="18.75" x14ac:dyDescent="0.3">
      <c r="B14" s="1"/>
      <c r="C14" s="1"/>
    </row>
    <row r="15" spans="2:7" ht="18.75" x14ac:dyDescent="0.3">
      <c r="B15" s="28" t="s">
        <v>27</v>
      </c>
      <c r="C15" s="29"/>
    </row>
    <row r="16" spans="2:7" ht="18.75" x14ac:dyDescent="0.3">
      <c r="B16" s="4" t="s">
        <v>3</v>
      </c>
      <c r="C16" s="2"/>
    </row>
    <row r="17" spans="2:3" ht="18.75" x14ac:dyDescent="0.3">
      <c r="B17" s="4" t="s">
        <v>4</v>
      </c>
      <c r="C17" s="2"/>
    </row>
    <row r="18" spans="2:3" ht="18.75" x14ac:dyDescent="0.3">
      <c r="B18" s="18" t="s">
        <v>5</v>
      </c>
      <c r="C18" s="2"/>
    </row>
    <row r="19" spans="2:3" ht="18.75" x14ac:dyDescent="0.3">
      <c r="B19" s="4" t="s">
        <v>15</v>
      </c>
      <c r="C19" s="4"/>
    </row>
    <row r="20" spans="2:3" ht="18.75" x14ac:dyDescent="0.3">
      <c r="B20" s="18" t="s">
        <v>6</v>
      </c>
      <c r="C20" s="4"/>
    </row>
    <row r="21" spans="2:3" ht="18.75" x14ac:dyDescent="0.3">
      <c r="B21" s="4" t="s">
        <v>7</v>
      </c>
      <c r="C21" s="4"/>
    </row>
    <row r="22" spans="2:3" ht="18.75" x14ac:dyDescent="0.3">
      <c r="B22" s="19" t="s">
        <v>28</v>
      </c>
      <c r="C22" s="19"/>
    </row>
  </sheetData>
  <mergeCells count="4">
    <mergeCell ref="B1:C1"/>
    <mergeCell ref="B3:C3"/>
    <mergeCell ref="B15:C15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F285-AB28-1943-BAB5-93F19862CAB2}">
  <dimension ref="B3:E17"/>
  <sheetViews>
    <sheetView workbookViewId="0">
      <selection activeCell="H18" sqref="H18"/>
    </sheetView>
  </sheetViews>
  <sheetFormatPr defaultColWidth="11" defaultRowHeight="15.75" x14ac:dyDescent="0.25"/>
  <cols>
    <col min="2" max="2" width="20.5" customWidth="1"/>
    <col min="3" max="3" width="17.125" customWidth="1"/>
    <col min="4" max="4" width="16.625" customWidth="1"/>
    <col min="5" max="5" width="18" customWidth="1"/>
  </cols>
  <sheetData>
    <row r="3" spans="2:5" ht="18.75" x14ac:dyDescent="0.3">
      <c r="B3" s="33" t="s">
        <v>30</v>
      </c>
      <c r="C3" s="33"/>
      <c r="D3" s="33"/>
      <c r="E3" s="33"/>
    </row>
    <row r="4" spans="2:5" ht="18.75" x14ac:dyDescent="0.3">
      <c r="B4" s="14" t="s">
        <v>26</v>
      </c>
      <c r="C4" s="15">
        <v>44562</v>
      </c>
      <c r="D4" s="14"/>
      <c r="E4" s="14"/>
    </row>
    <row r="5" spans="2:5" ht="18.75" x14ac:dyDescent="0.3">
      <c r="B5" s="4" t="s">
        <v>16</v>
      </c>
      <c r="C5" s="5"/>
      <c r="D5" s="5"/>
      <c r="E5" s="5"/>
    </row>
    <row r="6" spans="2:5" ht="18.75" x14ac:dyDescent="0.3">
      <c r="B6" s="4" t="s">
        <v>17</v>
      </c>
      <c r="C6" s="5"/>
      <c r="D6" s="5"/>
      <c r="E6" s="5"/>
    </row>
    <row r="7" spans="2:5" ht="18.75" x14ac:dyDescent="0.3">
      <c r="B7" s="6" t="s">
        <v>28</v>
      </c>
      <c r="C7" s="7"/>
      <c r="D7" s="7"/>
      <c r="E7" s="7"/>
    </row>
    <row r="8" spans="2:5" ht="18.75" x14ac:dyDescent="0.3">
      <c r="B8" s="4"/>
      <c r="C8" s="4"/>
      <c r="D8" s="4"/>
      <c r="E8" s="4"/>
    </row>
    <row r="9" spans="2:5" ht="18.75" x14ac:dyDescent="0.3">
      <c r="B9" s="8" t="s">
        <v>18</v>
      </c>
      <c r="C9" s="9"/>
      <c r="D9" s="9"/>
      <c r="E9" s="9"/>
    </row>
    <row r="10" spans="2:5" ht="18.75" x14ac:dyDescent="0.3">
      <c r="B10" s="10" t="s">
        <v>19</v>
      </c>
      <c r="C10" s="11">
        <v>0</v>
      </c>
      <c r="D10" s="11">
        <v>0</v>
      </c>
      <c r="E10" s="11">
        <v>0</v>
      </c>
    </row>
    <row r="11" spans="2:5" ht="18.75" x14ac:dyDescent="0.3">
      <c r="B11" s="10" t="s">
        <v>20</v>
      </c>
      <c r="C11" s="11">
        <v>0</v>
      </c>
      <c r="D11" s="11">
        <v>0</v>
      </c>
      <c r="E11" s="11">
        <v>0</v>
      </c>
    </row>
    <row r="12" spans="2:5" ht="18.75" x14ac:dyDescent="0.3">
      <c r="B12" s="10" t="s">
        <v>21</v>
      </c>
      <c r="C12" s="11">
        <v>0</v>
      </c>
      <c r="D12" s="11">
        <v>0</v>
      </c>
      <c r="E12" s="11">
        <v>0</v>
      </c>
    </row>
    <row r="13" spans="2:5" ht="18.75" x14ac:dyDescent="0.3">
      <c r="B13" s="12"/>
      <c r="C13" s="13"/>
      <c r="D13" s="13"/>
      <c r="E13" s="13"/>
    </row>
    <row r="14" spans="2:5" ht="18.75" x14ac:dyDescent="0.3">
      <c r="B14" s="8" t="s">
        <v>22</v>
      </c>
      <c r="C14" s="13"/>
      <c r="D14" s="13"/>
      <c r="E14" s="13"/>
    </row>
    <row r="15" spans="2:5" ht="18.75" x14ac:dyDescent="0.3">
      <c r="B15" s="10" t="s">
        <v>19</v>
      </c>
      <c r="C15" s="11">
        <v>0</v>
      </c>
      <c r="D15" s="11">
        <v>0</v>
      </c>
      <c r="E15" s="11">
        <v>0</v>
      </c>
    </row>
    <row r="16" spans="2:5" ht="18.75" x14ac:dyDescent="0.3">
      <c r="B16" s="10" t="s">
        <v>20</v>
      </c>
      <c r="C16" s="11">
        <v>0</v>
      </c>
      <c r="D16" s="11">
        <v>0</v>
      </c>
      <c r="E16" s="11">
        <v>0</v>
      </c>
    </row>
    <row r="17" spans="2:5" ht="18.75" x14ac:dyDescent="0.3">
      <c r="B17" s="10" t="s">
        <v>21</v>
      </c>
      <c r="C17" s="11">
        <v>0</v>
      </c>
      <c r="D17" s="11">
        <v>0</v>
      </c>
      <c r="E17" s="11">
        <v>0</v>
      </c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 SEEK</vt:lpstr>
      <vt:lpstr>DATA TABLE</vt:lpstr>
      <vt:lpstr>SOLVER</vt:lpstr>
      <vt:lpstr>SENERIO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2023-08-18T06:11:12Z</dcterms:created>
  <dcterms:modified xsi:type="dcterms:W3CDTF">2026-02-06T17:42:36Z</dcterms:modified>
</cp:coreProperties>
</file>